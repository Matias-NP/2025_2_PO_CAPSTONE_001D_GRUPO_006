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OAPCA02LC0200\Desktop\"/>
    </mc:Choice>
  </mc:AlternateContent>
  <xr:revisionPtr revIDLastSave="0" documentId="8_{2F1AD104-C98C-4413-8A08-ED22C9F33467}"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4" i="1" l="1"/>
  <c r="D13" i="1"/>
  <c r="E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G14" i="1"/>
  <c r="E21" i="1" l="1"/>
  <c r="I21" i="1"/>
  <c r="K14" i="1"/>
  <c r="K21" i="1" l="1"/>
  <c r="G13" i="1" l="1"/>
  <c r="G21" i="1" s="1"/>
  <c r="C21" i="1" s="1"/>
  <c r="C22" i="1" s="1"/>
  <c r="C4" i="1" l="1"/>
  <c r="C6" i="1"/>
  <c r="C5" i="1"/>
</calcChain>
</file>

<file path=xl/sharedStrings.xml><?xml version="1.0" encoding="utf-8"?>
<sst xmlns="http://schemas.openxmlformats.org/spreadsheetml/2006/main" count="86" uniqueCount="67">
  <si>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</si>
  <si>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</si>
  <si>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</si>
  <si>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</si>
  <si>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</si>
  <si>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</si>
  <si>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</si>
  <si>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</si>
  <si>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</si>
  <si>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</si>
  <si>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</si>
  <si>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</si>
  <si>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</si>
  <si>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</si>
  <si>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</si>
  <si>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</si>
  <si>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</si>
  <si>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</si>
  <si>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</si>
  <si>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</si>
  <si>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</si>
  <si>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</si>
  <si>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</si>
  <si>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</si>
  <si>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</si>
  <si>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</si>
  <si>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</si>
  <si>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</si>
  <si>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</si>
  <si>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</si>
  <si>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</si>
  <si>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</si>
  <si>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</si>
  <si>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</si>
  <si>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</si>
  <si>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</si>
  <si>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</si>
  <si>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</si>
  <si>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</si>
  <si>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</si>
  <si>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</si>
  <si>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</si>
  <si>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</si>
  <si>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</si>
  <si>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</si>
  <si>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</si>
  <si>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</si>
  <si>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</si>
  <si>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</si>
  <si>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</si>
  <si>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</si>
  <si>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</si>
  <si>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</si>
  <si>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</si>
  <si>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</si>
  <si>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</si>
  <si>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</si>
  <si>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</si>
  <si>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</si>
  <si>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</si>
  <si>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</si>
  <si>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</si>
  <si>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</si>
  <si>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 </t>
  </si>
  <si>
    <t xml:space="preserve">Rodrigo Riquelme </t>
  </si>
  <si>
    <t>Gonzalo Saavedra</t>
  </si>
  <si>
    <t xml:space="preserve">Matias Nuñez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</si>
</sst>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895"/>
  <sheetViews>
    <sheetView tabSelected="1" zoomScaleNormal="100" workbookViewId="0">
      <selection activeCell="B6" sqref="B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64</v>
      </c>
      <c r="C4" s="5">
        <f>EVALUACION2!$C$22</f>
        <v>6.4</v>
      </c>
      <c r="G4" s="1"/>
    </row>
    <row r="5" spans="1:11">
      <c r="A5" s="4">
        <v>2</v>
      </c>
      <c r="B5" s="25" t="s">
        <v>65</v>
      </c>
      <c r="C5" s="5">
        <f>EVALUACION2!$C$22</f>
        <v>6.4</v>
      </c>
      <c r="G5" s="1"/>
    </row>
    <row r="6" spans="1:11">
      <c r="A6" s="4">
        <v>3</v>
      </c>
      <c r="B6" s="25" t="s">
        <v>66</v>
      </c>
      <c r="C6" s="5">
        <f>EVALUACION2!$C$22</f>
        <v>6.4</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6</v>
      </c>
      <c r="D13" s="15" t="str">
        <f t="shared" ref="D13:D17" si="0">IF($C13=CL,"X","")</f>
        <v/>
      </c>
      <c r="E13" s="15" t="str">
        <f>IF(D13="X",60*0.1,"")</f>
        <v/>
      </c>
      <c r="F13" s="15" t="s">
        <v>41</v>
      </c>
      <c r="G13" s="15">
        <f>IF(F13="X",60*0.1,"")</f>
        <v>6</v>
      </c>
      <c r="H13" s="15" t="str">
        <f t="shared" ref="H13:H17" si="1">IF($C13=ML,"X","")</f>
        <v/>
      </c>
      <c r="I13" s="15" t="str">
        <f>IF(H13="X",30*0.1,"")</f>
        <v/>
      </c>
      <c r="J13" s="15" t="str">
        <f t="shared" ref="J13:J17" si="2">IF($C13=NL,"X","")</f>
        <v/>
      </c>
      <c r="K13" s="15" t="str">
        <f t="shared" ref="K13:K17" si="3">IF($J13="X",0,"")</f>
        <v/>
      </c>
    </row>
    <row r="14" spans="1:11" ht="26.45" customHeight="1" outlineLevel="1">
      <c r="A14" s="44"/>
      <c r="B14" s="28" t="str">
        <f>RUBRICA!A5</f>
        <v>2. Aplica una metodología que permite el logro de los objetivos propuestos, de acuerdo a los estándares de la disciplina.</v>
      </c>
      <c r="C14" s="26" t="s">
        <v>6</v>
      </c>
      <c r="D14" s="15" t="str">
        <f t="shared" si="0"/>
        <v/>
      </c>
      <c r="E14" s="15" t="str">
        <f>IF(D14="X",60*0.1,"")</f>
        <v/>
      </c>
      <c r="F14" s="15" t="str">
        <f>IF($C14=L,"X","")</f>
        <v>X</v>
      </c>
      <c r="G14" s="15">
        <f>IF(F14="X",60*0.1,"")</f>
        <v>6</v>
      </c>
      <c r="H14" s="15" t="str">
        <f t="shared" si="1"/>
        <v/>
      </c>
      <c r="I14" s="15" t="str">
        <f>IF(H14="X",30*0.1,"")</f>
        <v/>
      </c>
      <c r="J14" s="15" t="str">
        <f t="shared" si="2"/>
        <v/>
      </c>
      <c r="K14" s="15" t="str">
        <f t="shared" si="3"/>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ref="F13:F17" si="4">IF($C15=L,"X","")</f>
        <v/>
      </c>
      <c r="G15" s="15" t="str">
        <f>IF(F15="X",60*0.25,"")</f>
        <v/>
      </c>
      <c r="H15" s="15" t="str">
        <f t="shared" si="1"/>
        <v/>
      </c>
      <c r="I15" s="15" t="str">
        <f>IF(H15="X",30*0.25,"")</f>
        <v/>
      </c>
      <c r="J15" s="15" t="str">
        <f t="shared" si="2"/>
        <v/>
      </c>
      <c r="K15" s="15" t="str">
        <f t="shared" si="3"/>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4"/>
        <v/>
      </c>
      <c r="G16" s="15" t="str">
        <f>IF(F16="X",60*0.05,"")</f>
        <v/>
      </c>
      <c r="H16" s="15" t="str">
        <f t="shared" si="1"/>
        <v/>
      </c>
      <c r="I16" s="15" t="str">
        <f>IF(H16="X",30*0.05,"")</f>
        <v/>
      </c>
      <c r="J16" s="15" t="str">
        <f t="shared" si="2"/>
        <v/>
      </c>
      <c r="K16" s="15" t="str">
        <f t="shared" si="3"/>
        <v/>
      </c>
    </row>
    <row r="17" spans="1:15"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4"/>
        <v/>
      </c>
      <c r="G17" s="15" t="str">
        <f>IF(F17="X",60*0.05,"")</f>
        <v/>
      </c>
      <c r="H17" s="15" t="str">
        <f t="shared" si="1"/>
        <v/>
      </c>
      <c r="I17" s="15" t="str">
        <f>IF(H17="X",30*0.05,"")</f>
        <v/>
      </c>
      <c r="J17" s="15" t="str">
        <f t="shared" si="2"/>
        <v/>
      </c>
      <c r="K17" s="15" t="str">
        <f t="shared" si="3"/>
        <v/>
      </c>
    </row>
    <row r="18" spans="1:15"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c r="O18" t="s">
        <v>63</v>
      </c>
    </row>
    <row r="19" spans="1:15" ht="36"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5"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5" ht="15.75" customHeight="1" outlineLevel="1">
      <c r="A21" s="43"/>
      <c r="B21" s="27" t="s">
        <v>4</v>
      </c>
      <c r="C21" s="31">
        <f>E21+G21+I21+K21</f>
        <v>92</v>
      </c>
      <c r="D21" s="16"/>
      <c r="E21" s="16">
        <f>SUM(E13:E20)</f>
        <v>80</v>
      </c>
      <c r="F21" s="16"/>
      <c r="G21" s="16">
        <f>SUM(G13:G20)</f>
        <v>12</v>
      </c>
      <c r="H21" s="16"/>
      <c r="I21" s="16">
        <f>SUM(I13:I20)</f>
        <v>0</v>
      </c>
      <c r="J21" s="16"/>
      <c r="K21" s="16">
        <f>SUM(K13:K20)</f>
        <v>0</v>
      </c>
    </row>
    <row r="22" spans="1:15" ht="15.75" customHeight="1" outlineLevel="1">
      <c r="A22" s="45"/>
      <c r="B22" s="30" t="s">
        <v>13</v>
      </c>
      <c r="C22" s="17">
        <f>VLOOKUP(C21,ESCALA_IEP!A2:B202,2,FALSE)</f>
        <v>6.4</v>
      </c>
    </row>
    <row r="23" spans="1:15" ht="15.75" customHeight="1">
      <c r="D23" t="s">
        <v>41</v>
      </c>
    </row>
    <row r="24" spans="1:15" ht="48" customHeight="1">
      <c r="B24" s="34"/>
    </row>
    <row r="25" spans="1:15" ht="15.75" customHeight="1">
      <c r="B25" s="18"/>
      <c r="C25" s="19"/>
    </row>
    <row r="26" spans="1:15" ht="31.15" customHeight="1">
      <c r="B26" s="35"/>
    </row>
    <row r="27" spans="1:15" ht="15.75" customHeight="1"/>
    <row r="28" spans="1:15" ht="15.75" customHeight="1"/>
    <row r="29" spans="1:15" ht="15.75" customHeight="1"/>
    <row r="30" spans="1:15" ht="15.75" customHeight="1"/>
    <row r="31" spans="1:15" ht="15.75" customHeight="1"/>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POAPCA02LC0200</cp:lastModifiedBy>
  <dcterms:created xsi:type="dcterms:W3CDTF">2023-08-07T04:08:01Z</dcterms:created>
  <dcterms:modified xsi:type="dcterms:W3CDTF">2025-10-20T19:53:13Z</dcterms:modified>
</cp:coreProperties>
</file>